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jpeg" ContentType="image/jpeg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1" minimized="false" showHorizontalScroll="true" showSheetTabs="true" showVerticalScroll="true" tabRatio="600" visibility="visible"/>
  </bookViews>
  <sheets>
    <sheet name="old" sheetId="1" r:id="rId4"/>
    <sheet name="LAGYAP" sheetId="2" r:id="rId5"/>
    <sheet name="temp" sheetId="3" r:id="rId6"/>
  </sheets>
  <definedNames>
    <definedName name="_xlnm.Print_Area" localSheetId="0">'old'!$A$1:$G$50</definedName>
    <definedName name="_xlnm.Print_Area" localSheetId="1">'LAGYAP'!$A$1:$H$53</definedName>
    <definedName name="_xlnm.Print_Area" localSheetId="2">'temp'!$A$1:$G$50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<sst xmlns="http://schemas.openxmlformats.org/spreadsheetml/2006/main" uniqueCount="82">
  <si>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BILLING STATEMENT</t>
  </si>
  <si>
    <t>BS No. : ____________________</t>
  </si>
  <si>
    <t>MARIO LOPEZ</t>
  </si>
  <si>
    <t>Date: ____________________________</t>
  </si>
  <si>
    <t>A. FACILITIES</t>
  </si>
  <si>
    <t xml:space="preserve">Gymnasium </t>
  </si>
  <si>
    <t xml:space="preserve"> Day</t>
  </si>
  <si>
    <t>Night</t>
  </si>
  <si>
    <t>₱</t>
  </si>
  <si>
    <t xml:space="preserve">Auditorium    </t>
  </si>
  <si>
    <t>Day</t>
  </si>
  <si>
    <t>Seminar Hall</t>
  </si>
  <si>
    <t>AVR</t>
  </si>
  <si>
    <t>Library</t>
  </si>
  <si>
    <t>COE</t>
  </si>
  <si>
    <t xml:space="preserve">Function Room </t>
  </si>
  <si>
    <t>Gym</t>
  </si>
  <si>
    <t>Acad II</t>
  </si>
  <si>
    <t>Pearl Hotel/Restaurant</t>
  </si>
  <si>
    <t xml:space="preserve">Classroom </t>
  </si>
  <si>
    <t>Dormitory</t>
  </si>
  <si>
    <t xml:space="preserve">Board Room </t>
  </si>
  <si>
    <t>Staff House</t>
  </si>
  <si>
    <t>CSPCean</t>
  </si>
  <si>
    <t>Non-CSPCean</t>
  </si>
  <si>
    <t>Stalls/Spaces</t>
  </si>
  <si>
    <t>Boarding House</t>
  </si>
  <si>
    <t>Reception Room</t>
  </si>
  <si>
    <t>B. EQUIPMENT</t>
  </si>
  <si>
    <t xml:space="preserve">Multimedia Projector </t>
  </si>
  <si>
    <t>Plastic Chairs</t>
  </si>
  <si>
    <t>Chair cover/s</t>
  </si>
  <si>
    <t>Table/s</t>
  </si>
  <si>
    <t>Table Cover</t>
  </si>
  <si>
    <t>Steel Framed Fence</t>
  </si>
  <si>
    <t>School Bus/es</t>
  </si>
  <si>
    <t>C. OTHERS</t>
  </si>
  <si>
    <t xml:space="preserve">Academic Gown Rental </t>
  </si>
  <si>
    <t xml:space="preserve">Black </t>
  </si>
  <si>
    <t>Blue</t>
  </si>
  <si>
    <t>Masters</t>
  </si>
  <si>
    <t>Toga Fine _______ days @_______ per day</t>
  </si>
  <si>
    <t>Bidding Documents</t>
  </si>
  <si>
    <t>Performance Bond</t>
  </si>
  <si>
    <t>ID Cord</t>
  </si>
  <si>
    <t>Steel Locker</t>
  </si>
  <si>
    <t xml:space="preserve">Proceeds from the Sale of </t>
  </si>
  <si>
    <t>Bidding Documents for Sale of Unserviceable Properties</t>
  </si>
  <si>
    <t xml:space="preserve">     Unserviceable Property</t>
  </si>
  <si>
    <t>Gate Pass (Car Sticker)</t>
  </si>
  <si>
    <r>
      <rPr>
        <rFont val="Cambria"/>
        <b val="true"/>
        <i val="false"/>
        <strike val="false"/>
        <color rgb="FF000000"/>
        <sz val="12"/>
        <u val="none"/>
      </rPr>
      <t xml:space="preserve">Electri</t>
    </r>
    <r>
      <rPr>
        <rFont val="Cambria"/>
        <b val="false"/>
        <i val="false"/>
        <strike val="false"/>
        <color rgb="FF000000"/>
        <sz val="12"/>
        <u val="none"/>
      </rPr>
      <t xml:space="preserve">c/Water Bill</t>
    </r>
  </si>
  <si>
    <t>Others ____________________</t>
  </si>
  <si>
    <t>TOTAL</t>
  </si>
  <si>
    <t>OR No.: _________________</t>
  </si>
  <si>
    <t>Prepared by:</t>
  </si>
  <si>
    <t>Date: ___________________</t>
  </si>
  <si>
    <t>Amount: ________________</t>
  </si>
  <si>
    <t>MARY JANE J. CHAVEZ</t>
  </si>
  <si>
    <t>Supply and Property In-charge</t>
  </si>
  <si>
    <t xml:space="preserve"> BILLING STATEMENT</t>
  </si>
  <si>
    <t>MCHL c/o MARIA ELOISA P. DEBIL</t>
  </si>
  <si>
    <t xml:space="preserve"> April 22, 2024</t>
  </si>
  <si>
    <t xml:space="preserve"> April 23, 2024</t>
  </si>
  <si>
    <t>80 X ₱7.50</t>
  </si>
  <si>
    <t>34 X ₱65.00</t>
  </si>
  <si>
    <t>22 X ₱7.50</t>
  </si>
  <si>
    <t>34 X ₱10.00</t>
  </si>
  <si>
    <t>1 X ₱65.00</t>
  </si>
  <si>
    <t xml:space="preserve"> 1 X ₱10.00</t>
  </si>
  <si>
    <r>
      <rPr>
        <rFont val="Cambria"/>
        <b val="true"/>
        <i val="false"/>
        <strike val="false"/>
        <color rgb="FF000000"/>
        <sz val="16"/>
        <u val="none"/>
      </rPr>
      <t xml:space="preserve">Electri</t>
    </r>
    <r>
      <rPr>
        <rFont val="Cambria"/>
        <b val="false"/>
        <i val="false"/>
        <strike val="false"/>
        <color rgb="FF000000"/>
        <sz val="16"/>
        <u val="none"/>
      </rPr>
      <t xml:space="preserve">c/Water Bill</t>
    </r>
  </si>
  <si>
    <t xml:space="preserve">Others :   </t>
  </si>
  <si>
    <t>SUB-TOTAL</t>
  </si>
  <si>
    <t>GRAND TOTAL</t>
  </si>
  <si>
    <t xml:space="preserve">                                        Supply and Property In-charge</t>
  </si>
  <si>
    <t>user</t>
  </si>
  <si>
    <t>Date:  December 12, 2025</t>
  </si>
  <si>
    <t>☑ Day</t>
  </si>
  <si>
    <t>2 X ₱10.00</t>
  </si>
  <si>
    <r>
      <rPr>
        <rFont val="Cambria"/>
        <b val="true"/>
        <i val="false"/>
        <strike val="false"/>
        <color rgb="FF000000"/>
        <sz val="12"/>
        <u val="singleAccounting"/>
      </rPr>
      <t xml:space="preserve">Electri</t>
    </r>
    <r>
      <rPr>
        <rFont val="Cambria"/>
        <b val="false"/>
        <i val="false"/>
        <strike val="false"/>
        <color rgb="FF000000"/>
        <sz val="12"/>
        <u val="singleAccounting"/>
      </rPr>
      <t xml:space="preserve">c</t>
    </r>
    <r>
      <rPr>
        <rFont val="Cambria"/>
        <b val="false"/>
        <i val="false"/>
        <strike val="false"/>
        <color rgb="FF000000"/>
        <sz val="12"/>
        <u val="none"/>
      </rPr>
      <t xml:space="preserve">/Water Bill</t>
    </r>
  </si>
  <si>
    <t xml:space="preserve">  </t>
  </si>
  <si>
    <t xml:space="preserve">                                         </t>
  </si>
  <si>
    <t>JOMEL JANE J. CHAVEZ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</si>
</sst>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41">
    <font>
      <b val="0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0"/>
      <color theme="1"/>
      <name val="Arial Black"/>
    </font>
    <font>
      <b val="0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rgb="FF000000"/>
      <name val="Cambria"/>
    </font>
    <font>
      <b val="0"/>
      <i val="0"/>
      <strike val="0"/>
      <u val="none"/>
      <sz val="12"/>
      <color rgb="FF000000"/>
      <name val="Cambria"/>
    </font>
    <font>
      <b val="0"/>
      <i val="0"/>
      <strike val="0"/>
      <u val="none"/>
      <sz val="11"/>
      <color rgb="FF000000"/>
      <name val="Cambria"/>
    </font>
    <font>
      <b val="0"/>
      <i val="0"/>
      <strike val="0"/>
      <u val="none"/>
      <sz val="11"/>
      <color theme="1"/>
      <name val="Calibri"/>
      <charset val="134"/>
    </font>
    <font>
      <b val="0"/>
      <i val="0"/>
      <strike val="0"/>
      <u val="none"/>
      <sz val="11"/>
      <color rgb="FF000000"/>
      <name val="Calibri"/>
      <charset val="134"/>
      <scheme val="minor"/>
    </font>
    <font>
      <b val="0"/>
      <i val="1"/>
      <strike val="0"/>
      <u val="none"/>
      <sz val="8"/>
      <color theme="1"/>
      <name val="Cambria"/>
    </font>
    <font>
      <b val="0"/>
      <i val="0"/>
      <strike val="1"/>
      <u val="none"/>
      <sz val="12"/>
      <color rgb="FF000000"/>
      <name val="Cambria"/>
    </font>
    <font>
      <b val="0"/>
      <i val="0"/>
      <strike val="0"/>
      <u val="none"/>
      <sz val="9"/>
      <color rgb="FF000000"/>
      <name val="Cambria"/>
    </font>
    <font>
      <b val="0"/>
      <i val="0"/>
      <strike val="0"/>
      <u val="none"/>
      <sz val="9"/>
      <color theme="1"/>
      <name val="Calibri"/>
      <charset val="134"/>
      <scheme val="minor"/>
    </font>
    <font>
      <b val="0"/>
      <i val="0"/>
      <strike val="0"/>
      <u val="single"/>
      <sz val="12"/>
      <color rgb="FF000000"/>
      <name val="Cambria"/>
    </font>
    <font>
      <b val="1"/>
      <i val="0"/>
      <strike val="0"/>
      <u val="none"/>
      <sz val="11"/>
      <color rgb="FF000000"/>
      <name val="Calibri"/>
      <charset val="134"/>
      <scheme val="minor"/>
    </font>
    <font>
      <b val="1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  <scheme val="minor"/>
    </font>
    <font>
      <b val="0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</font>
    <font>
      <b val="0"/>
      <i val="0"/>
      <strike val="0"/>
      <u val="none"/>
      <sz val="9"/>
      <color theme="1"/>
      <name val="Cambria"/>
    </font>
    <font>
      <b val="1"/>
      <i val="0"/>
      <strike val="0"/>
      <u val="none"/>
      <sz val="9"/>
      <color rgb="FFFF0000"/>
      <name val="Cambria"/>
    </font>
    <font>
      <b val="1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theme="1"/>
      <name val="Calibri"/>
      <charset val="134"/>
    </font>
    <font>
      <b val="0"/>
      <i val="0"/>
      <strike val="0"/>
      <u val="none"/>
      <sz val="16"/>
      <color theme="1"/>
      <name val="Calibri"/>
      <charset val="134"/>
      <scheme val="minor"/>
    </font>
    <font>
      <b val="0"/>
      <i val="0"/>
      <strike val="0"/>
      <u val="none"/>
      <sz val="16"/>
      <color theme="1"/>
      <name val="Cambria"/>
    </font>
    <font>
      <b val="1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theme="1"/>
      <name val="Calibri"/>
      <charset val="134"/>
    </font>
    <font>
      <b val="0"/>
      <i val="0"/>
      <strike val="0"/>
      <u val="none"/>
      <sz val="16"/>
      <color rgb="FF000000"/>
      <name val="Calibri"/>
      <charset val="134"/>
      <scheme val="minor"/>
    </font>
    <font>
      <b val="0"/>
      <i val="0"/>
      <strike val="0"/>
      <u val="single"/>
      <sz val="16"/>
      <color rgb="FF000000"/>
      <name val="Cambria"/>
    </font>
    <font>
      <b val="1"/>
      <i val="0"/>
      <strike val="0"/>
      <u val="none"/>
      <sz val="16"/>
      <color rgb="FF000000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</font>
    <font>
      <b val="1"/>
      <i val="0"/>
      <strike val="0"/>
      <u val="none"/>
      <sz val="16"/>
      <color rgb="FFFF0000"/>
      <name val="Cambria"/>
    </font>
    <font>
      <b val="1"/>
      <i val="0"/>
      <strike val="0"/>
      <u val="none"/>
      <sz val="16"/>
      <color theme="1"/>
      <name val="Cambria"/>
    </font>
    <font>
      <b val="0"/>
      <i val="1"/>
      <strike val="0"/>
      <u val="none"/>
      <sz val="16"/>
      <color theme="1"/>
      <name val="Cambria"/>
    </font>
    <font>
      <b val="0"/>
      <i val="0"/>
      <strike val="1"/>
      <u val="none"/>
      <sz val="16"/>
      <color rgb="FF000000"/>
      <name val="Cambria"/>
    </font>
    <font>
      <b val="0"/>
      <i val="0"/>
      <strike val="0"/>
      <u val="none"/>
      <sz val="10"/>
      <color theme="1"/>
      <name val="Calibri"/>
      <charset val="134"/>
      <scheme val="minor"/>
    </font>
    <font>
      <b val="1"/>
      <i val="0"/>
      <strike val="0"/>
      <u val="none"/>
      <sz val="14"/>
      <color theme="1"/>
      <name val="Calibri"/>
      <charset val="134"/>
      <scheme val="minor"/>
    </font>
    <font>
      <b val="1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1"/>
      <color theme="1"/>
      <name val="Berlin Sans FB Demi"/>
    </font>
    <font>
      <b val="0"/>
      <i val="0"/>
      <strike val="0"/>
      <u val="none"/>
      <sz val="16"/>
      <color theme="1"/>
      <name val="Berlin Sans FB Dem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 indent="7"/>
    </xf>
    <xf xfId="0" fontId="0" numFmtId="164" fillId="0" borderId="0" applyFont="0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/>
    </xf>
    <xf xfId="0" fontId="0" numFmtId="14" fillId="0" borderId="0" applyFont="0" applyNumberFormat="1" applyFill="0" applyBorder="0" applyAlignment="0"/>
    <xf xfId="0" fontId="3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center" vertical="center" textRotation="0" wrapText="false" shrinkToFit="false"/>
    </xf>
    <xf xfId="0" fontId="6" numFmtId="164" fillId="0" borderId="0" applyFont="1" applyNumberFormat="1" applyFill="0" applyBorder="0" applyAlignment="0"/>
    <xf xfId="0" fontId="7" numFmtId="164" fillId="0" borderId="1" applyFont="1" applyNumberFormat="1" applyFill="0" applyBorder="1" applyAlignment="1">
      <alignment horizontal="left" vertical="center" textRotation="0" wrapText="false" shrinkToFit="false"/>
    </xf>
    <xf xfId="0" fontId="8" numFmtId="164" fillId="0" borderId="0" applyFont="1" applyNumberFormat="1" applyFill="0" applyBorder="0" applyAlignment="1">
      <alignment vertical="center" textRotation="0" wrapText="false" shrinkToFit="false"/>
    </xf>
    <xf xfId="0" fontId="7" numFmtId="164" fillId="0" borderId="2" applyFont="1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left" vertical="center" textRotation="0" wrapText="false" shrinkToFit="false"/>
    </xf>
    <xf xfId="0" fontId="9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5" numFmtId="164" fillId="0" borderId="0" applyFont="1" applyNumberFormat="1" applyFill="0" applyBorder="0" applyAlignment="1">
      <alignment vertical="center" textRotation="0" wrapText="false" shrinkToFit="false"/>
    </xf>
    <xf xfId="0" fontId="10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1" applyFont="1" applyNumberFormat="1" applyFill="0" applyBorder="1" applyAlignment="1">
      <alignment vertical="center" textRotation="0" wrapText="false" shrinkToFit="false"/>
    </xf>
    <xf xfId="0" fontId="11" numFmtId="164" fillId="0" borderId="0" applyFont="1" applyNumberFormat="1" applyFill="0" applyBorder="0" applyAlignment="0"/>
    <xf xfId="0" fontId="0" numFmtId="164" fillId="0" borderId="2" applyFont="0" applyNumberFormat="1" applyFill="0" applyBorder="1" applyAlignment="0"/>
    <xf xfId="0" fontId="4" numFmtId="164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11" numFmtId="164" fillId="0" borderId="2" applyFont="1" applyNumberFormat="1" applyFill="0" applyBorder="1" applyAlignment="0"/>
    <xf xfId="0" fontId="6" numFmtId="164" fillId="0" borderId="0" applyFont="1" applyNumberFormat="1" applyFill="0" applyBorder="0" applyAlignment="0"/>
    <xf xfId="0" fontId="0" numFmtId="164" fillId="0" borderId="1" applyFont="0" applyNumberFormat="1" applyFill="0" applyBorder="1" applyAlignment="0"/>
    <xf xfId="0" fontId="12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0"/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4" numFmtId="164" fillId="0" borderId="2" applyFont="1" applyNumberFormat="1" applyFill="0" applyBorder="1" applyAlignment="1">
      <alignment vertical="center" textRotation="0" wrapText="false" shrinkToFit="false"/>
    </xf>
    <xf xfId="0" fontId="13" numFmtId="164" fillId="0" borderId="1" applyFont="1" applyNumberFormat="1" applyFill="0" applyBorder="1" applyAlignment="1">
      <alignment horizontal="left" vertical="center" textRotation="0" wrapText="false" shrinkToFit="false"/>
    </xf>
    <xf xfId="0" fontId="4" numFmtId="164" fillId="0" borderId="0" applyFont="1" applyNumberFormat="1" applyFill="0" applyBorder="0" applyAlignment="0"/>
    <xf xfId="0" fontId="7" numFmtId="164" fillId="0" borderId="2" applyFont="1" applyNumberFormat="1" applyFill="0" applyBorder="1" applyAlignment="1">
      <alignment vertical="center" textRotation="0" wrapText="false" shrinkToFit="false"/>
    </xf>
    <xf xfId="0" fontId="14" numFmtId="0" fillId="0" borderId="0" applyFont="1" applyNumberFormat="0" applyFill="0" applyBorder="0" applyAlignment="0"/>
    <xf xfId="0" fontId="4" numFmtId="164" fillId="0" borderId="0" applyFont="1" applyNumberFormat="1" applyFill="0" applyBorder="0" applyAlignment="1">
      <alignment horizontal="center" vertical="bottom" textRotation="0" wrapText="false" shrinkToFit="false"/>
    </xf>
    <xf xfId="0" fontId="15" numFmtId="164" fillId="0" borderId="0" applyFont="1" applyNumberFormat="1" applyFill="0" applyBorder="0" applyAlignment="0"/>
    <xf xfId="0" fontId="16" numFmtId="164" fillId="0" borderId="2" applyFont="1" applyNumberFormat="1" applyFill="0" applyBorder="1" applyAlignment="1">
      <alignment vertical="center" textRotation="0" wrapText="false" shrinkToFit="false"/>
    </xf>
    <xf xfId="0" fontId="17" numFmtId="164" fillId="0" borderId="0" applyFont="1" applyNumberFormat="1" applyFill="0" applyBorder="0" applyAlignment="0"/>
    <xf xfId="0" fontId="18" numFmtId="164" fillId="0" borderId="0" applyFont="1" applyNumberFormat="1" applyFill="0" applyBorder="0" applyAlignment="1">
      <alignment horizontal="center" vertical="bottom" textRotation="0" wrapText="false" shrinkToFit="false"/>
    </xf>
    <xf xfId="0" fontId="19" numFmtId="164" fillId="0" borderId="0" applyFont="1" applyNumberFormat="1" applyFill="0" applyBorder="0" applyAlignment="0"/>
    <xf xfId="0" fontId="20" numFmtId="164" fillId="0" borderId="0" applyFont="1" applyNumberFormat="1" applyFill="0" applyBorder="0" applyAlignment="0"/>
    <xf xfId="0" fontId="21" numFmtId="164" fillId="0" borderId="0" applyFont="1" applyNumberFormat="1" applyFill="0" applyBorder="0" applyAlignment="0"/>
    <xf xfId="0" fontId="13" numFmtId="164" fillId="0" borderId="2" applyFont="1" applyNumberFormat="1" applyFill="0" applyBorder="1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left" vertical="center" textRotation="0" wrapText="true" shrinkToFit="false"/>
    </xf>
    <xf xfId="0" fontId="14" numFmtId="4" fillId="0" borderId="0" applyFont="1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 indent="6"/>
    </xf>
    <xf xfId="0" fontId="0" numFmtId="164" fillId="0" borderId="0" applyFont="0" applyNumberFormat="1" applyFill="0" applyBorder="0" applyAlignment="0"/>
    <xf xfId="0" fontId="22" numFmtId="164" fillId="0" borderId="0" applyFont="1" applyNumberFormat="1" applyFill="0" applyBorder="0" applyAlignment="0"/>
    <xf xfId="0" fontId="22" numFmtId="164" fillId="0" borderId="0" applyFont="1" applyNumberFormat="1" applyFill="0" applyBorder="0" applyAlignment="1">
      <alignment horizontal="left" vertical="bottom" textRotation="0" wrapText="false" shrinkToFit="false"/>
    </xf>
    <xf xfId="0" fontId="22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left" vertical="bottom" textRotation="0" wrapText="false" shrinkToFit="false"/>
    </xf>
    <xf xfId="0" fontId="24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center" textRotation="0" wrapText="false" shrinkToFit="false"/>
    </xf>
    <xf xfId="0" fontId="26" numFmtId="164" fillId="0" borderId="0" applyFont="1" applyNumberFormat="1" applyFill="0" applyBorder="0" applyAlignment="0"/>
    <xf xfId="0" fontId="27" numFmtId="164" fillId="0" borderId="1" applyFont="1" applyNumberFormat="1" applyFill="0" applyBorder="1" applyAlignment="1">
      <alignment horizontal="left" vertical="center" textRotation="0" wrapText="false" shrinkToFit="false"/>
    </xf>
    <xf xfId="0" fontId="27" numFmtId="164" fillId="0" borderId="2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1">
      <alignment horizontal="center" vertical="bottom" textRotation="0" wrapText="false" shrinkToFit="false"/>
    </xf>
    <xf xfId="0" fontId="22" numFmtId="164" fillId="0" borderId="2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3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25" numFmtId="164" fillId="0" borderId="1" applyFont="1" applyNumberFormat="1" applyFill="0" applyBorder="1" applyAlignment="1">
      <alignment vertical="center" textRotation="0" wrapText="false" shrinkToFit="false"/>
    </xf>
    <xf xfId="0" fontId="22" numFmtId="164" fillId="0" borderId="2" applyFont="1" applyNumberFormat="1" applyFill="0" applyBorder="1" applyAlignment="0"/>
    <xf xfId="0" fontId="25" numFmtId="164" fillId="0" borderId="0" applyFont="1" applyNumberFormat="1" applyFill="0" applyBorder="0" applyAlignment="1">
      <alignment horizontal="righ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6" numFmtId="164" fillId="0" borderId="0" applyFont="1" applyNumberFormat="1" applyFill="0" applyBorder="0" applyAlignment="0"/>
    <xf xfId="0" fontId="22" numFmtId="164" fillId="0" borderId="0" applyFont="1" applyNumberFormat="1" applyFill="0" applyBorder="0" applyAlignment="0"/>
    <xf xfId="0" fontId="28" numFmtId="164" fillId="0" borderId="0" applyFont="1" applyNumberFormat="1" applyFill="0" applyBorder="0" applyAlignment="1">
      <alignment vertical="center" textRotation="0" wrapText="false" shrinkToFit="false"/>
    </xf>
    <xf xfId="0" fontId="22" numFmtId="164" fillId="0" borderId="2" applyFont="1" applyNumberFormat="1" applyFill="0" applyBorder="1" applyAlignment="1">
      <alignment horizontal="center" vertical="bottom" textRotation="0" wrapText="false" shrinkToFit="false"/>
    </xf>
    <xf xfId="0" fontId="22" numFmtId="164" fillId="0" borderId="1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0"/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5" numFmtId="164" fillId="0" borderId="2" applyFont="1" applyNumberFormat="1" applyFill="0" applyBorder="1" applyAlignment="1">
      <alignment vertical="center" textRotation="0" wrapText="false" shrinkToFit="false"/>
    </xf>
    <xf xfId="0" fontId="29" numFmtId="164" fillId="0" borderId="1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0"/>
    <xf xfId="0" fontId="27" numFmtId="164" fillId="0" borderId="2" applyFont="1" applyNumberFormat="1" applyFill="0" applyBorder="1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0"/>
    <xf xfId="0" fontId="31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2" numFmtId="164" fillId="0" borderId="0" applyFont="1" applyNumberFormat="1" applyFill="0" applyBorder="0" applyAlignment="0"/>
    <xf xfId="0" fontId="29" numFmtId="164" fillId="0" borderId="0" applyFont="1" applyNumberFormat="1" applyFill="0" applyBorder="0" applyAlignment="1">
      <alignment vertical="center" textRotation="0" wrapText="false" shrinkToFit="false"/>
    </xf>
    <xf xfId="0" fontId="33" numFmtId="164" fillId="0" borderId="0" applyFont="1" applyNumberFormat="1" applyFill="0" applyBorder="0" applyAlignment="0"/>
    <xf xfId="0" fontId="29" numFmtId="164" fillId="0" borderId="2" applyFont="1" applyNumberFormat="1" applyFill="0" applyBorder="1" applyAlignment="1">
      <alignment horizontal="right" vertical="center" textRotation="0" wrapText="false" shrinkToFit="false"/>
    </xf>
    <xf xfId="0" fontId="22" numFmtId="164" fillId="0" borderId="0" applyFont="1" applyNumberFormat="1" applyFill="0" applyBorder="0" applyAlignment="1">
      <alignment horizontal="center" vertical="top" textRotation="0" wrapText="false" shrinkToFit="false"/>
    </xf>
    <xf xfId="0" fontId="22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4" fillId="0" borderId="0" applyFont="1" applyNumberFormat="1" applyFill="0" applyBorder="0" applyAlignment="0"/>
    <xf xfId="0" fontId="34" numFmtId="164" fillId="0" borderId="0" applyFont="1" applyNumberFormat="1" applyFill="0" applyBorder="0" applyAlignment="1">
      <alignment vertical="center" textRotation="0" wrapText="false" shrinkToFit="false"/>
    </xf>
    <xf xfId="0" fontId="35" numFmtId="164" fillId="0" borderId="0" applyFont="1" applyNumberFormat="1" applyFill="0" applyBorder="0" applyAlignment="1">
      <alignment vertical="center" textRotation="0" wrapText="false" shrinkToFit="false"/>
    </xf>
    <xf xfId="0" fontId="29" numFmtId="4" fillId="0" borderId="0" applyFont="1" applyNumberFormat="1" applyFill="0" applyBorder="0" applyAlignment="0"/>
    <xf xfId="0" fontId="29" numFmtId="0" fillId="0" borderId="0" applyFont="1" applyNumberFormat="0" applyFill="0" applyBorder="0" applyAlignment="0"/>
    <xf xfId="0" fontId="22" numFmtId="164" fillId="0" borderId="0" applyFont="1" applyNumberFormat="1" applyFill="0" applyBorder="0" applyAlignment="1">
      <alignment horizontal="left" vertical="center" textRotation="0" wrapText="true" shrinkToFit="false"/>
    </xf>
    <xf xfId="0" fontId="36" numFmtId="164" fillId="0" borderId="2" applyFont="1" applyNumberFormat="1" applyFill="0" applyBorder="1" applyAlignment="1">
      <alignment horizontal="left" vertical="bottom" textRotation="0" wrapText="false" shrinkToFit="false"/>
    </xf>
    <xf xfId="0" fontId="36" numFmtId="164" fillId="0" borderId="2" applyFont="1" applyNumberFormat="1" applyFill="0" applyBorder="1" applyAlignment="0"/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7" numFmtId="164" fillId="0" borderId="0" applyFont="1" applyNumberFormat="1" applyFill="0" applyBorder="0" applyAlignment="1">
      <alignment vertical="center" textRotation="0" wrapText="false" shrinkToFit="false"/>
    </xf>
    <xf xfId="0" fontId="14" numFmtId="164" fillId="0" borderId="0" applyFont="1" applyNumberFormat="1" applyFill="0" applyBorder="0" applyAlignment="1">
      <alignment vertical="center" textRotation="0" wrapText="false" shrinkToFit="false"/>
    </xf>
    <xf xfId="0" fontId="3" numFmtId="164" fillId="0" borderId="0" applyFont="1" applyNumberFormat="1" applyFill="0" applyBorder="0" applyAlignment="0"/>
    <xf xfId="0" fontId="37" quotePrefix="1" numFmtId="15" fillId="0" borderId="0" applyFont="1" applyNumberFormat="1" applyFill="0" applyBorder="0" applyAlignment="0"/>
    <xf xfId="0" fontId="38" quotePrefix="1" numFmtId="15" fillId="0" borderId="0" applyFont="1" applyNumberFormat="1" applyFill="0" applyBorder="0" applyAlignment="0"/>
    <xf xfId="0" fontId="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11" numFmtId="164" fillId="0" borderId="0" applyFont="1" applyNumberFormat="1" applyFill="0" applyBorder="0" applyAlignment="1">
      <alignment horizontal="center" vertical="bottom" textRotation="0" wrapText="false" shrinkToFit="false"/>
    </xf>
    <xf xfId="0" fontId="38" numFmtId="164" fillId="0" borderId="1" applyFont="1" applyNumberFormat="1" applyFill="0" applyBorder="1" applyAlignment="1">
      <alignment horizontal="center" vertical="bottom" textRotation="0" wrapText="false" shrinkToFit="false"/>
    </xf>
    <xf xfId="0" fontId="0" numFmtId="164" fillId="0" borderId="3" applyFont="0" applyNumberFormat="1" applyFill="0" applyBorder="1" applyAlignment="1">
      <alignment horizontal="center" vertical="top" textRotation="0" wrapText="false" shrinkToFit="false"/>
    </xf>
    <xf xfId="0" fontId="39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36" numFmtId="17" fillId="0" borderId="0" applyFont="1" applyNumberFormat="1" applyFill="0" applyBorder="0" applyAlignment="1">
      <alignment horizontal="center" vertical="bottom" textRotation="0" wrapText="false" shrinkToFit="false"/>
    </xf>
    <xf xfId="0" fontId="3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7" fillId="0" borderId="0" applyFont="0" applyNumberFormat="1" applyFill="0" applyBorder="0" applyAlignment="1">
      <alignment horizontal="center" vertical="bottom" textRotation="0" wrapText="false" shrinkToFit="false"/>
    </xf>
    <xf xfId="0" fontId="40" numFmtId="164" fillId="0" borderId="0" applyFont="1" applyNumberFormat="1" applyFill="0" applyBorder="0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64" fillId="0" borderId="0" applyFont="1" applyNumberFormat="1" applyFill="0" applyBorder="0" applyAlignment="1">
      <alignment horizontal="center" vertical="bottom" textRotation="0" wrapText="false" shrinkToFit="false"/>
    </xf>
    <xf xfId="0" fontId="22" numFmtId="17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1" applyFont="1" applyNumberFormat="1" applyFill="0" applyBorder="1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left" vertical="top" textRotation="0" wrapText="false" shrinkToFit="false"/>
    </xf>
    <xf xfId="0" fontId="11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5" fillId="0" borderId="0" applyFont="0" applyNumberFormat="1" applyFill="0" applyBorder="0" applyAlignment="1">
      <alignment horizontal="center" vertical="bottom" textRotation="0" wrapText="false" shrinkToFit="false"/>
    </xf>
    <xf xfId="0" fontId="36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7" numFmtId="4" fillId="0" borderId="1" applyFont="1" applyNumberFormat="1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checked="Checked" noThreeD="1"/>
</file>

<file path=xl/ctrlProps/ctrlProp16.xml><?xml version="1.0" encoding="utf-8"?>
<formControlPr xmlns="http://schemas.microsoft.com/office/spreadsheetml/2009/9/main" objectType="CheckBox" checked="Checked" noThreeD="1"/>
</file>

<file path=xl/ctrlProps/ctrlProp17.xml><?xml version="1.0" encoding="utf-8"?>
<formControlPr xmlns="http://schemas.microsoft.com/office/spreadsheetml/2009/9/main" objectType="CheckBox" checked="Checked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0f41a522feec2fa5b506f222ccf576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3f0f41a522feec2fa5b506f222ccf576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3f0f41a522feec2fa5b506f222ccf576.jpeg"/></Relationships>
</file>

<file path=xl/drawings/_rels/vmlDrawing1.vml.rels><?xml version="1.0" encoding="UTF-8" standalone="yes"?>
<Relationships xmlns="http://schemas.openxmlformats.org/package/2006/relationships"/>
</file>

<file path=xl/drawings/_rels/vmlDrawing2.vml.rels><?xml version="1.0" encoding="UTF-8" standalone="yes"?>
<Relationships xmlns="http://schemas.openxmlformats.org/package/2006/relationships"/>
</file>

<file path=xl/drawings/_rels/vmlDrawing3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0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0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0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0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0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0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0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0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0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0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0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0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0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0</xdr:col>
      <xdr:colOff>628650</xdr:colOff>
      <xdr:row>0</xdr:row>
      <xdr:rowOff>523875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5</xdr:row>
          <xdr:rowOff>152400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1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5</xdr:row>
          <xdr:rowOff>152400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1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1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1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8</xdr:row>
          <xdr:rowOff>228600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1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9</xdr:row>
          <xdr:rowOff>152400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1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8</xdr:row>
          <xdr:rowOff>228600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1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9</xdr:row>
          <xdr:rowOff>160020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1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1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1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1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1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5373" name="Check Box 13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1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97289" name="Check Box 9" hidden="1">
              <a:extLst>
                <a:ext uri="{63B3BB69-23CF-44E3-9099-C40C66FF867C}">
                  <a14:compatExt spid="_x0000_s97289"/>
                </a:ext>
                <a:ext uri="{FF2B5EF4-FFF2-40B4-BE49-F238E27FC236}">
                  <a16:creationId xmlns:a16="http://schemas.microsoft.com/office/drawing/2014/main" id="{00000000-0008-0000-0200-000009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97290" name="Check Box 10" hidden="1">
              <a:extLst>
                <a:ext uri="{63B3BB69-23CF-44E3-9099-C40C66FF867C}">
                  <a14:compatExt spid="_x0000_s97290"/>
                </a:ext>
                <a:ext uri="{FF2B5EF4-FFF2-40B4-BE49-F238E27FC236}">
                  <a16:creationId xmlns:a16="http://schemas.microsoft.com/office/drawing/2014/main" id="{00000000-0008-0000-0200-00000A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97291" name="Check Box 11" hidden="1">
              <a:extLst>
                <a:ext uri="{63B3BB69-23CF-44E3-9099-C40C66FF867C}">
                  <a14:compatExt spid="_x0000_s97291"/>
                </a:ext>
                <a:ext uri="{FF2B5EF4-FFF2-40B4-BE49-F238E27FC236}">
                  <a16:creationId xmlns:a16="http://schemas.microsoft.com/office/drawing/2014/main" id="{00000000-0008-0000-0200-00000B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97292" name="Check Box 12" hidden="1">
              <a:extLst>
                <a:ext uri="{63B3BB69-23CF-44E3-9099-C40C66FF867C}">
                  <a14:compatExt spid="_x0000_s97292"/>
                </a:ext>
                <a:ext uri="{FF2B5EF4-FFF2-40B4-BE49-F238E27FC236}">
                  <a16:creationId xmlns:a16="http://schemas.microsoft.com/office/drawing/2014/main" id="{00000000-0008-0000-0200-00000C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97293" name="Check Box 13" hidden="1">
              <a:extLst>
                <a:ext uri="{63B3BB69-23CF-44E3-9099-C40C66FF867C}">
                  <a14:compatExt spid="_x0000_s97293"/>
                </a:ext>
                <a:ext uri="{FF2B5EF4-FFF2-40B4-BE49-F238E27FC236}">
                  <a16:creationId xmlns:a16="http://schemas.microsoft.com/office/drawing/2014/main" id="{00000000-0008-0000-0200-00000D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6" Type="http://schemas.openxmlformats.org/officeDocument/2006/relationships/ctrlProp" Target="../ctrlProps/ctrlProp13.xm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comments_vml1" Type="http://schemas.openxmlformats.org/officeDocument/2006/relationships/vmlDrawing" Target="../drawings/vmlDrawing2.vml"/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16" Type="http://schemas.openxmlformats.org/officeDocument/2006/relationships/ctrlProp" Target="../ctrlProps/ctrlProp26.xml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10" Type="http://schemas.openxmlformats.org/officeDocument/2006/relationships/ctrlProp" Target="../ctrlProps/ctrlProp20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comments_vml1" Type="http://schemas.openxmlformats.org/officeDocument/2006/relationships/vmlDrawing" Target="../drawings/vmlDrawing3.vml"/><Relationship Id="rId8" Type="http://schemas.openxmlformats.org/officeDocument/2006/relationships/ctrlProp" Target="../ctrlProps/ctrlProp31.xml"/><Relationship Id="rId7" Type="http://schemas.openxmlformats.org/officeDocument/2006/relationships/ctrlProp" Target="../ctrlProps/ctrlProp30.xml"/><Relationship Id="rId6" Type="http://schemas.openxmlformats.org/officeDocument/2006/relationships/ctrlProp" Target="../ctrlProps/ctrlProp29.xml"/><Relationship Id="rId5" Type="http://schemas.openxmlformats.org/officeDocument/2006/relationships/ctrlProp" Target="../ctrlProps/ctrlProp28.xml"/><Relationship Id="rId4" Type="http://schemas.openxmlformats.org/officeDocument/2006/relationships/ctrlProp" Target="../ctrlProps/ctrlProp27.x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49"/>
  <sheetViews>
    <sheetView tabSelected="0" workbookViewId="0" zoomScale="140" zoomScaleNormal="140" view="pageBreakPreview" showGridLines="true" showRowColHeaders="1" topLeftCell="A28">
      <selection activeCell="C43" sqref="C43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3" customHeight="1" ht="51.75">
      <c r="A1" s="1"/>
    </row>
    <row r="2" spans="1:13" customHeight="1" ht="16.5">
      <c r="A2" s="113" t="s">
        <v>0</v>
      </c>
      <c r="B2" s="113"/>
      <c r="C2" s="113"/>
      <c r="D2" s="113"/>
      <c r="E2" s="113"/>
      <c r="F2" s="113"/>
    </row>
    <row r="3" spans="1:13">
      <c r="D3" s="114"/>
      <c r="E3" s="114"/>
      <c r="F3" s="2" t="s">
        <v>1</v>
      </c>
      <c r="G3" s="3"/>
    </row>
    <row r="4" spans="1:13" customHeight="1" ht="16.2">
      <c r="A4" s="4" t="s">
        <v>2</v>
      </c>
      <c r="B4" s="5"/>
      <c r="C4" s="5"/>
      <c r="D4" s="5"/>
      <c r="F4" s="6" t="s">
        <v>3</v>
      </c>
      <c r="G4" s="7"/>
    </row>
    <row r="5" spans="1:13" customHeight="1" ht="15">
      <c r="A5" s="8" t="s">
        <v>4</v>
      </c>
      <c r="F5" s="5"/>
    </row>
    <row r="6" spans="1:13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3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3" customHeight="1" ht="13.5">
      <c r="A8" s="9" t="s">
        <v>11</v>
      </c>
      <c r="C8" s="15"/>
      <c r="E8" s="11" t="s">
        <v>8</v>
      </c>
      <c r="F8" s="16"/>
      <c r="G8" s="17"/>
      <c r="H8" s="9"/>
    </row>
    <row r="9" spans="1:13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9"/>
    </row>
    <row r="10" spans="1:13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</row>
    <row r="11" spans="1:13" customHeight="1" ht="15">
      <c r="A11" s="9" t="s">
        <v>18</v>
      </c>
      <c r="C11" s="22"/>
      <c r="E11" s="11" t="s">
        <v>8</v>
      </c>
      <c r="F11" s="14"/>
      <c r="G11" s="23"/>
    </row>
    <row r="12" spans="1:13" customHeight="1" ht="15">
      <c r="A12" s="9" t="s">
        <v>19</v>
      </c>
      <c r="B12" s="109"/>
      <c r="C12" s="109"/>
      <c r="E12" s="11" t="s">
        <v>8</v>
      </c>
      <c r="F12" s="16"/>
      <c r="G12" s="17"/>
      <c r="H12" s="9"/>
    </row>
    <row r="13" spans="1:13" customHeight="1" ht="15">
      <c r="A13" s="9" t="s">
        <v>20</v>
      </c>
      <c r="B13" s="115"/>
      <c r="C13" s="116"/>
      <c r="E13" s="11" t="s">
        <v>8</v>
      </c>
      <c r="F13" s="16"/>
      <c r="G13" s="17"/>
      <c r="H13" s="9"/>
    </row>
    <row r="14" spans="1:13" customHeight="1" ht="15">
      <c r="A14" s="9" t="s">
        <v>21</v>
      </c>
      <c r="C14" s="24"/>
      <c r="E14" s="11" t="s">
        <v>8</v>
      </c>
      <c r="F14" s="16"/>
      <c r="G14" s="17"/>
      <c r="H14" s="9"/>
    </row>
    <row r="15" spans="1:13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</row>
    <row r="16" spans="1:13" customHeight="1" ht="15">
      <c r="A16" s="9" t="s">
        <v>25</v>
      </c>
      <c r="B16" s="117"/>
      <c r="C16" s="117"/>
      <c r="D16" s="117"/>
      <c r="E16" s="11" t="s">
        <v>8</v>
      </c>
      <c r="F16" s="16"/>
    </row>
    <row r="17" spans="1:13" customHeight="1" ht="15">
      <c r="A17" s="9" t="s">
        <v>26</v>
      </c>
      <c r="C17" s="24"/>
      <c r="D17" s="9"/>
      <c r="E17" s="11" t="s">
        <v>8</v>
      </c>
      <c r="F17" s="16"/>
      <c r="G17" s="9"/>
    </row>
    <row r="18" spans="1:13" customHeight="1" ht="15">
      <c r="A18" s="9" t="s">
        <v>27</v>
      </c>
      <c r="C18" s="24"/>
      <c r="D18" s="9"/>
      <c r="E18" s="11" t="s">
        <v>8</v>
      </c>
      <c r="F18" s="16"/>
      <c r="G18" s="9"/>
    </row>
    <row r="19" spans="1:13" customHeight="1" ht="15">
      <c r="A19" s="8" t="s">
        <v>28</v>
      </c>
      <c r="E19" s="11"/>
      <c r="F19" s="27"/>
    </row>
    <row r="20" spans="1:13" customHeight="1" ht="15">
      <c r="A20" s="9" t="s">
        <v>29</v>
      </c>
      <c r="C20" s="22"/>
      <c r="E20" s="11" t="s">
        <v>8</v>
      </c>
      <c r="F20" s="12"/>
    </row>
    <row r="21" spans="1:13" customHeight="1" ht="15">
      <c r="A21" s="9" t="s">
        <v>30</v>
      </c>
      <c r="C21" s="100"/>
      <c r="E21" s="11" t="s">
        <v>8</v>
      </c>
      <c r="F21" s="12"/>
    </row>
    <row r="22" spans="1:13" customHeight="1" ht="15">
      <c r="A22" s="9" t="s">
        <v>31</v>
      </c>
      <c r="C22" s="101"/>
      <c r="E22" s="11" t="s">
        <v>8</v>
      </c>
      <c r="F22" s="12"/>
      <c r="G22" s="9"/>
    </row>
    <row r="23" spans="1:13" customHeight="1" ht="15">
      <c r="A23" s="9" t="s">
        <v>32</v>
      </c>
      <c r="C23" s="101"/>
      <c r="E23" s="11" t="s">
        <v>8</v>
      </c>
      <c r="F23" s="12"/>
      <c r="G23" s="17"/>
      <c r="H23" s="9"/>
    </row>
    <row r="24" spans="1:13" customHeight="1" ht="15">
      <c r="A24" s="9" t="s">
        <v>33</v>
      </c>
      <c r="C24" s="101"/>
      <c r="E24" s="11"/>
      <c r="F24" s="12"/>
      <c r="G24" s="17"/>
      <c r="H24" s="9"/>
    </row>
    <row r="25" spans="1:13" customHeight="1" ht="15">
      <c r="A25" s="9" t="s">
        <v>34</v>
      </c>
      <c r="B25" s="108"/>
      <c r="C25" s="109"/>
      <c r="D25" s="31"/>
      <c r="E25" s="11" t="s">
        <v>8</v>
      </c>
      <c r="F25" s="12"/>
      <c r="G25" s="9"/>
    </row>
    <row r="26" spans="1:13" customHeight="1" ht="12">
      <c r="A26" s="9" t="s">
        <v>35</v>
      </c>
      <c r="C26" s="102"/>
      <c r="D26" s="9"/>
      <c r="E26" s="11" t="s">
        <v>8</v>
      </c>
      <c r="F26" s="12"/>
      <c r="G26" s="9"/>
    </row>
    <row r="27" spans="1:13" customHeight="1" ht="15">
      <c r="A27" s="8" t="s">
        <v>36</v>
      </c>
      <c r="E27" s="11"/>
      <c r="F27" s="27"/>
    </row>
    <row r="28" spans="1:13" customHeight="1" ht="15">
      <c r="A28" s="9" t="s">
        <v>37</v>
      </c>
      <c r="E28" s="11"/>
      <c r="F28" s="27"/>
    </row>
    <row r="29" spans="1:13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3" customHeight="1" ht="15">
      <c r="A30" s="9" t="s">
        <v>41</v>
      </c>
      <c r="E30" s="11" t="s">
        <v>8</v>
      </c>
      <c r="F30" s="33"/>
    </row>
    <row r="31" spans="1:13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3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3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3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3" customHeight="1" ht="15">
      <c r="A35" s="9" t="s">
        <v>46</v>
      </c>
      <c r="E35" s="11"/>
      <c r="F35" s="35"/>
      <c r="I35" s="40"/>
      <c r="J35" s="51"/>
      <c r="K35" s="40"/>
      <c r="M35" s="105" t="s">
        <v>47</v>
      </c>
    </row>
    <row r="36" spans="1:13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3" customHeight="1" ht="15">
      <c r="A37" s="9" t="s">
        <v>49</v>
      </c>
      <c r="C37" s="36"/>
      <c r="E37" s="11" t="s">
        <v>8</v>
      </c>
      <c r="F37" s="12"/>
    </row>
    <row r="38" spans="1:13" customHeight="1" ht="15">
      <c r="A38" s="9" t="s">
        <v>50</v>
      </c>
      <c r="B38" s="110"/>
      <c r="C38" s="110"/>
      <c r="D38" s="9"/>
      <c r="E38" s="11" t="s">
        <v>8</v>
      </c>
      <c r="F38" s="12"/>
      <c r="G38" s="9"/>
    </row>
    <row r="39" spans="1:13" customHeight="1" ht="15">
      <c r="A39" s="38" t="s">
        <v>51</v>
      </c>
      <c r="C39" s="39"/>
      <c r="E39" s="11" t="s">
        <v>8</v>
      </c>
      <c r="F39" s="12"/>
      <c r="H39" s="40"/>
    </row>
    <row r="40" spans="1:13" customHeight="1" ht="15">
      <c r="C40" s="103"/>
      <c r="E40" s="11"/>
      <c r="F40" s="12">
        <v>500</v>
      </c>
      <c r="H40" s="40"/>
    </row>
    <row r="41" spans="1:13" customHeight="1" ht="15">
      <c r="A41" s="46"/>
      <c r="B41" s="42"/>
      <c r="C41" s="104"/>
      <c r="D41" s="42"/>
      <c r="E41" s="44"/>
      <c r="F41" s="12"/>
      <c r="H41" s="40"/>
    </row>
    <row r="42" spans="1:13" customHeight="1" ht="15">
      <c r="A42" s="46"/>
      <c r="B42" s="42"/>
      <c r="C42" s="104"/>
      <c r="D42" s="42"/>
      <c r="E42" s="44"/>
      <c r="F42" s="12"/>
      <c r="H42" s="40"/>
    </row>
    <row r="43" spans="1:13" customHeight="1" ht="15">
      <c r="A43" s="46"/>
      <c r="B43" s="42"/>
      <c r="C43" s="104"/>
      <c r="D43" s="42"/>
      <c r="E43" s="44"/>
      <c r="F43" s="12"/>
      <c r="H43" s="40"/>
    </row>
    <row r="44" spans="1:13" customHeight="1" ht="21.75">
      <c r="B44" s="47" t="s">
        <v>52</v>
      </c>
      <c r="E44" s="48" t="s">
        <v>8</v>
      </c>
      <c r="F44" s="49"/>
      <c r="G44" s="50"/>
      <c r="H44" s="40"/>
    </row>
    <row r="45" spans="1:13">
      <c r="H45" s="51"/>
    </row>
    <row r="46" spans="1:13">
      <c r="A46" s="1" t="s">
        <v>53</v>
      </c>
      <c r="C46" s="52" t="s">
        <v>54</v>
      </c>
      <c r="H46" s="40"/>
      <c r="K46" s="51"/>
    </row>
    <row r="47" spans="1:13">
      <c r="A47" s="1" t="s">
        <v>55</v>
      </c>
      <c r="D47" s="5"/>
      <c r="E47" s="5"/>
      <c r="F47" s="5"/>
      <c r="G47" s="5"/>
      <c r="H47" s="40"/>
      <c r="K47" s="51"/>
    </row>
    <row r="48" spans="1:13">
      <c r="A48" s="1" t="s">
        <v>56</v>
      </c>
      <c r="D48" s="111" t="s">
        <v>57</v>
      </c>
      <c r="E48" s="111"/>
      <c r="F48" s="111"/>
      <c r="K48" s="40"/>
    </row>
    <row r="49" spans="1:13">
      <c r="D49" s="112" t="s">
        <v>58</v>
      </c>
      <c r="E49" s="112"/>
      <c r="F49" s="112"/>
    </row>
  </sheetData>
  <mergeCells>
    <mergeCell ref="B25:C25"/>
    <mergeCell ref="B38:C38"/>
    <mergeCell ref="D48:F48"/>
    <mergeCell ref="D49:F49"/>
    <mergeCell ref="A2:F2"/>
    <mergeCell ref="D3:E3"/>
    <mergeCell ref="B12:C12"/>
    <mergeCell ref="B13:C13"/>
    <mergeCell ref="B16:D1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March 2014&amp;CRev. 0&amp;RPage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52"/>
  <sheetViews>
    <sheetView tabSelected="0" workbookViewId="0" zoomScale="140" zoomScaleNormal="140" view="pageBreakPreview" showGridLines="true" showRowColHeaders="1" topLeftCell="A13">
      <selection activeCell="A36" sqref="A36"/>
    </sheetView>
  </sheetViews>
  <sheetFormatPr defaultRowHeight="14.4" defaultColWidth="9.109375" outlineLevelRow="0" outlineLevelCol="0"/>
  <cols>
    <col min="1" max="1" width="27.5546875" customWidth="true" style="54"/>
    <col min="2" max="2" width="15.33203125" customWidth="true" style="54"/>
    <col min="3" max="3" width="19.33203125" customWidth="true" style="54"/>
    <col min="4" max="4" width="3.5546875" customWidth="true" style="54"/>
    <col min="5" max="5" width="3" customWidth="true" style="54"/>
    <col min="6" max="6" width="20.44140625" customWidth="true" style="54"/>
    <col min="7" max="7" width="3.33203125" customWidth="true" style="54"/>
    <col min="8" max="8" width="23.88671875" customWidth="true" style="54"/>
    <col min="9" max="9" width="6.109375" customWidth="true" style="54"/>
    <col min="10" max="10" width="11.5546875" customWidth="true" style="54"/>
    <col min="11" max="11" width="10.5546875" customWidth="true" style="54"/>
    <col min="12" max="12" width="9.5546875" customWidth="true" style="54"/>
    <col min="13" max="13" width="9.109375" style="54"/>
    <col min="14" max="14" width="9.5546875" customWidth="true" style="54"/>
    <col min="15" max="15" width="9.109375" style="54"/>
  </cols>
  <sheetData>
    <row r="1" spans="1:15" customHeight="1" ht="51.75">
      <c r="A1" s="54"/>
    </row>
    <row r="2" spans="1:15" customHeight="1" ht="16.5">
      <c r="A2" s="118" t="s">
        <v>59</v>
      </c>
      <c r="B2" s="118"/>
      <c r="C2" s="118"/>
      <c r="D2" s="118"/>
      <c r="E2" s="118"/>
      <c r="F2" s="118"/>
      <c r="G2" s="118"/>
      <c r="H2" s="118"/>
    </row>
    <row r="3" spans="1:15">
      <c r="D3" s="119"/>
      <c r="E3" s="119"/>
      <c r="F3" s="55" t="s">
        <v>1</v>
      </c>
      <c r="G3" s="55"/>
      <c r="H3" s="55"/>
      <c r="I3" s="93"/>
    </row>
    <row r="4" spans="1:15">
      <c r="A4" s="4" t="s">
        <v>60</v>
      </c>
      <c r="B4" s="56"/>
      <c r="C4" s="56"/>
      <c r="D4" s="56"/>
      <c r="F4" s="57" t="s">
        <v>3</v>
      </c>
      <c r="G4" s="57"/>
      <c r="H4" s="57"/>
      <c r="I4" s="94"/>
    </row>
    <row r="5" spans="1:15">
      <c r="A5" s="58" t="s">
        <v>4</v>
      </c>
      <c r="F5" s="106" t="s">
        <v>61</v>
      </c>
      <c r="G5" s="56"/>
      <c r="H5" s="106" t="s">
        <v>62</v>
      </c>
    </row>
    <row r="6" spans="1:15" customHeight="1" ht="15">
      <c r="A6" s="59" t="s">
        <v>5</v>
      </c>
      <c r="B6" s="60" t="s">
        <v>6</v>
      </c>
      <c r="C6" s="60" t="s">
        <v>7</v>
      </c>
      <c r="E6" s="61" t="s">
        <v>8</v>
      </c>
      <c r="F6" s="62"/>
      <c r="G6" s="61" t="s">
        <v>8</v>
      </c>
      <c r="H6" s="62"/>
      <c r="I6" s="95"/>
      <c r="J6" s="59"/>
    </row>
    <row r="7" spans="1:15" customHeight="1" ht="15">
      <c r="A7" s="59" t="s">
        <v>9</v>
      </c>
      <c r="B7" s="60" t="s">
        <v>10</v>
      </c>
      <c r="C7" s="60" t="s">
        <v>7</v>
      </c>
      <c r="E7" s="61" t="s">
        <v>8</v>
      </c>
      <c r="F7" s="63">
        <v>9000</v>
      </c>
      <c r="G7" s="61" t="s">
        <v>8</v>
      </c>
      <c r="H7" s="63">
        <v>14000</v>
      </c>
    </row>
    <row r="8" spans="1:15" customHeight="1" ht="13.5">
      <c r="A8" s="59" t="s">
        <v>11</v>
      </c>
      <c r="C8" s="64"/>
      <c r="E8" s="61" t="s">
        <v>8</v>
      </c>
      <c r="F8" s="65"/>
      <c r="G8" s="61" t="s">
        <v>8</v>
      </c>
      <c r="H8" s="65"/>
      <c r="I8" s="96"/>
      <c r="J8" s="59"/>
    </row>
    <row r="9" spans="1:15" customHeight="1" ht="19.5">
      <c r="A9" s="59" t="s">
        <v>12</v>
      </c>
      <c r="B9" s="66" t="s">
        <v>13</v>
      </c>
      <c r="C9" s="66" t="s">
        <v>14</v>
      </c>
      <c r="E9" s="61" t="s">
        <v>8</v>
      </c>
      <c r="F9" s="65"/>
      <c r="G9" s="61" t="s">
        <v>8</v>
      </c>
      <c r="H9" s="65"/>
      <c r="J9" s="96"/>
      <c r="K9" s="59"/>
    </row>
    <row r="10" spans="1:15" customHeight="1" ht="20.25">
      <c r="A10" s="59" t="s">
        <v>15</v>
      </c>
      <c r="B10" s="67" t="s">
        <v>16</v>
      </c>
      <c r="C10" s="66" t="s">
        <v>17</v>
      </c>
      <c r="D10" s="59"/>
      <c r="E10" s="61" t="s">
        <v>8</v>
      </c>
      <c r="F10" s="63"/>
      <c r="G10" s="61" t="s">
        <v>8</v>
      </c>
      <c r="H10" s="63"/>
      <c r="I10" s="59"/>
    </row>
    <row r="11" spans="1:15" customHeight="1" ht="15">
      <c r="A11" s="59" t="s">
        <v>18</v>
      </c>
      <c r="C11" s="68"/>
      <c r="E11" s="61" t="s">
        <v>8</v>
      </c>
      <c r="F11" s="63"/>
      <c r="G11" s="61" t="s">
        <v>8</v>
      </c>
      <c r="H11" s="63"/>
    </row>
    <row r="12" spans="1:15" customHeight="1" ht="15">
      <c r="A12" s="59" t="s">
        <v>19</v>
      </c>
      <c r="B12" s="120"/>
      <c r="C12" s="120"/>
      <c r="E12" s="61" t="s">
        <v>8</v>
      </c>
      <c r="F12" s="65"/>
      <c r="G12" s="61" t="s">
        <v>8</v>
      </c>
      <c r="H12" s="65"/>
      <c r="I12" s="96"/>
      <c r="J12" s="59"/>
    </row>
    <row r="13" spans="1:15" customHeight="1" ht="15">
      <c r="A13" s="59" t="s">
        <v>20</v>
      </c>
      <c r="B13" s="121"/>
      <c r="C13" s="120"/>
      <c r="E13" s="61" t="s">
        <v>8</v>
      </c>
      <c r="F13" s="65"/>
      <c r="G13" s="61" t="s">
        <v>8</v>
      </c>
      <c r="H13" s="65"/>
      <c r="I13" s="96"/>
      <c r="J13" s="59"/>
    </row>
    <row r="14" spans="1:15" customHeight="1" ht="15">
      <c r="A14" s="59" t="s">
        <v>21</v>
      </c>
      <c r="C14" s="69"/>
      <c r="E14" s="61" t="s">
        <v>8</v>
      </c>
      <c r="F14" s="65"/>
      <c r="G14" s="61" t="s">
        <v>8</v>
      </c>
      <c r="H14" s="65"/>
      <c r="I14" s="96"/>
      <c r="J14" s="59"/>
    </row>
    <row r="15" spans="1:15" customHeight="1" ht="18">
      <c r="A15" s="59" t="s">
        <v>22</v>
      </c>
      <c r="B15" s="70" t="s">
        <v>23</v>
      </c>
      <c r="C15" s="71" t="s">
        <v>24</v>
      </c>
      <c r="E15" s="61" t="s">
        <v>8</v>
      </c>
      <c r="F15" s="65"/>
      <c r="G15" s="61" t="s">
        <v>8</v>
      </c>
      <c r="H15" s="65"/>
    </row>
    <row r="16" spans="1:15" customHeight="1" ht="15">
      <c r="A16" s="59" t="s">
        <v>25</v>
      </c>
      <c r="B16" s="121"/>
      <c r="C16" s="121"/>
      <c r="D16" s="121"/>
      <c r="E16" s="61" t="s">
        <v>8</v>
      </c>
      <c r="F16" s="65"/>
      <c r="G16" s="61" t="s">
        <v>8</v>
      </c>
      <c r="H16" s="65"/>
    </row>
    <row r="17" spans="1:15" customHeight="1" ht="15">
      <c r="A17" s="59" t="s">
        <v>26</v>
      </c>
      <c r="C17" s="69"/>
      <c r="D17" s="59"/>
      <c r="E17" s="61" t="s">
        <v>8</v>
      </c>
      <c r="F17" s="65"/>
      <c r="G17" s="61" t="s">
        <v>8</v>
      </c>
      <c r="H17" s="65"/>
      <c r="I17" s="59"/>
    </row>
    <row r="18" spans="1:15">
      <c r="A18" s="59" t="s">
        <v>27</v>
      </c>
      <c r="C18" s="69"/>
      <c r="D18" s="59"/>
      <c r="E18" s="61" t="s">
        <v>8</v>
      </c>
      <c r="F18" s="65"/>
      <c r="G18" s="61" t="s">
        <v>8</v>
      </c>
      <c r="H18" s="65"/>
      <c r="I18" s="59"/>
    </row>
    <row r="19" spans="1:15">
      <c r="A19" s="58" t="s">
        <v>28</v>
      </c>
      <c r="E19" s="61"/>
      <c r="F19" s="72"/>
      <c r="G19" s="61"/>
      <c r="H19" s="72"/>
    </row>
    <row r="20" spans="1:15" customHeight="1" ht="15">
      <c r="A20" s="59" t="s">
        <v>29</v>
      </c>
      <c r="C20" s="68"/>
      <c r="E20" s="61" t="s">
        <v>8</v>
      </c>
      <c r="F20" s="62"/>
      <c r="G20" s="61" t="s">
        <v>8</v>
      </c>
      <c r="H20" s="62"/>
    </row>
    <row r="21" spans="1:15" customHeight="1" ht="19.5">
      <c r="A21" s="59" t="s">
        <v>30</v>
      </c>
      <c r="C21" s="69" t="s">
        <v>63</v>
      </c>
      <c r="E21" s="61" t="s">
        <v>8</v>
      </c>
      <c r="F21" s="62"/>
      <c r="G21" s="61" t="s">
        <v>8</v>
      </c>
      <c r="H21" s="62">
        <v>600</v>
      </c>
      <c r="K21" s="69" t="s">
        <v>64</v>
      </c>
    </row>
    <row r="22" spans="1:15" customHeight="1" ht="19.5">
      <c r="A22" s="59" t="s">
        <v>31</v>
      </c>
      <c r="C22" s="69" t="s">
        <v>65</v>
      </c>
      <c r="E22" s="61" t="s">
        <v>8</v>
      </c>
      <c r="F22" s="62"/>
      <c r="G22" s="61" t="s">
        <v>8</v>
      </c>
      <c r="H22" s="62">
        <v>165</v>
      </c>
      <c r="I22" s="59"/>
      <c r="K22" s="69" t="s">
        <v>66</v>
      </c>
    </row>
    <row r="23" spans="1:15" customHeight="1" ht="18.75">
      <c r="A23" s="59" t="s">
        <v>32</v>
      </c>
      <c r="C23" s="69" t="s">
        <v>67</v>
      </c>
      <c r="E23" s="61" t="s">
        <v>8</v>
      </c>
      <c r="F23" s="62"/>
      <c r="G23" s="61" t="s">
        <v>8</v>
      </c>
      <c r="H23" s="62">
        <v>65</v>
      </c>
      <c r="I23" s="96"/>
      <c r="J23" s="59"/>
      <c r="K23" s="61"/>
    </row>
    <row r="24" spans="1:15" customHeight="1" ht="18.75">
      <c r="A24" s="59" t="s">
        <v>33</v>
      </c>
      <c r="C24" s="69" t="s">
        <v>68</v>
      </c>
      <c r="E24" s="61"/>
      <c r="F24" s="62"/>
      <c r="G24" s="61"/>
      <c r="H24" s="62">
        <v>10</v>
      </c>
      <c r="I24" s="96"/>
      <c r="J24" s="59"/>
    </row>
    <row r="25" spans="1:15" customHeight="1" ht="18">
      <c r="A25" s="59" t="s">
        <v>34</v>
      </c>
      <c r="B25" s="73"/>
      <c r="C25" s="74"/>
      <c r="D25" s="75"/>
      <c r="E25" s="61" t="s">
        <v>8</v>
      </c>
      <c r="F25" s="62"/>
      <c r="G25" s="61" t="s">
        <v>8</v>
      </c>
      <c r="H25" s="62"/>
      <c r="I25" s="59"/>
    </row>
    <row r="26" spans="1:15" customHeight="1" ht="15.75">
      <c r="A26" s="59" t="s">
        <v>35</v>
      </c>
      <c r="C26" s="76"/>
      <c r="D26" s="59"/>
      <c r="E26" s="61" t="s">
        <v>8</v>
      </c>
      <c r="F26" s="62"/>
      <c r="G26" s="61" t="s">
        <v>8</v>
      </c>
      <c r="H26" s="62"/>
      <c r="I26" s="59"/>
    </row>
    <row r="27" spans="1:15">
      <c r="A27" s="58" t="s">
        <v>36</v>
      </c>
      <c r="E27" s="61"/>
      <c r="F27" s="72"/>
      <c r="G27" s="61"/>
      <c r="H27" s="72"/>
    </row>
    <row r="28" spans="1:15" customHeight="1" ht="15">
      <c r="A28" s="59" t="s">
        <v>37</v>
      </c>
      <c r="E28" s="61"/>
      <c r="F28" s="72"/>
      <c r="G28" s="61"/>
      <c r="H28" s="72"/>
    </row>
    <row r="29" spans="1:15" customHeight="1" ht="15">
      <c r="A29" s="60" t="s">
        <v>38</v>
      </c>
      <c r="B29" s="60" t="s">
        <v>39</v>
      </c>
      <c r="C29" s="70" t="s">
        <v>40</v>
      </c>
      <c r="E29" s="61" t="s">
        <v>8</v>
      </c>
      <c r="F29" s="77"/>
      <c r="G29" s="61" t="s">
        <v>8</v>
      </c>
      <c r="H29" s="77"/>
      <c r="I29" s="96"/>
      <c r="J29" s="59"/>
    </row>
    <row r="30" spans="1:15" customHeight="1" ht="16.5">
      <c r="A30" s="59" t="s">
        <v>41</v>
      </c>
      <c r="E30" s="61" t="s">
        <v>8</v>
      </c>
      <c r="F30" s="77"/>
      <c r="G30" s="61" t="s">
        <v>8</v>
      </c>
      <c r="H30" s="77"/>
    </row>
    <row r="31" spans="1:15" customHeight="1" ht="15" hidden="true">
      <c r="A31" s="59" t="s">
        <v>42</v>
      </c>
      <c r="C31" s="78"/>
      <c r="D31" s="59"/>
      <c r="E31" s="61" t="s">
        <v>8</v>
      </c>
      <c r="F31" s="77"/>
      <c r="G31" s="61" t="s">
        <v>8</v>
      </c>
      <c r="H31" s="77"/>
      <c r="I31" s="59"/>
    </row>
    <row r="32" spans="1:15" customHeight="1" ht="15">
      <c r="A32" s="59" t="s">
        <v>43</v>
      </c>
      <c r="C32" s="78"/>
      <c r="D32" s="59"/>
      <c r="E32" s="61" t="s">
        <v>8</v>
      </c>
      <c r="F32" s="77"/>
      <c r="G32" s="61" t="s">
        <v>8</v>
      </c>
      <c r="H32" s="77"/>
      <c r="I32" s="59"/>
    </row>
    <row r="33" spans="1:15" customHeight="1" ht="15" hidden="true">
      <c r="A33" s="59" t="s">
        <v>44</v>
      </c>
      <c r="C33" s="78"/>
      <c r="E33" s="61" t="s">
        <v>8</v>
      </c>
      <c r="F33" s="77"/>
      <c r="G33" s="61" t="s">
        <v>8</v>
      </c>
      <c r="H33" s="77"/>
      <c r="I33" s="96"/>
      <c r="J33" s="59"/>
    </row>
    <row r="34" spans="1:15" customHeight="1" ht="15">
      <c r="A34" s="59" t="s">
        <v>45</v>
      </c>
      <c r="C34" s="78"/>
      <c r="E34" s="61" t="s">
        <v>8</v>
      </c>
      <c r="F34" s="65"/>
      <c r="G34" s="61" t="s">
        <v>8</v>
      </c>
      <c r="H34" s="65"/>
      <c r="I34" s="96"/>
      <c r="J34" s="59"/>
      <c r="M34" s="97"/>
    </row>
    <row r="35" spans="1:15" customHeight="1" ht="15">
      <c r="A35" s="59" t="s">
        <v>46</v>
      </c>
      <c r="E35" s="61"/>
      <c r="F35" s="79"/>
      <c r="G35" s="61"/>
      <c r="H35" s="79"/>
      <c r="K35" s="98"/>
      <c r="L35" s="97"/>
      <c r="M35" s="98"/>
    </row>
    <row r="36" spans="1:15" customHeight="1" ht="15">
      <c r="A36" s="59" t="s">
        <v>48</v>
      </c>
      <c r="C36" s="68"/>
      <c r="E36" s="61" t="s">
        <v>8</v>
      </c>
      <c r="F36" s="62"/>
      <c r="G36" s="61" t="s">
        <v>8</v>
      </c>
      <c r="H36" s="62"/>
      <c r="K36" s="98"/>
      <c r="L36" s="97"/>
    </row>
    <row r="37" spans="1:15" customHeight="1" ht="15">
      <c r="A37" s="59" t="s">
        <v>49</v>
      </c>
      <c r="C37" s="80"/>
      <c r="E37" s="61" t="s">
        <v>8</v>
      </c>
      <c r="F37" s="81"/>
      <c r="G37" s="61" t="s">
        <v>8</v>
      </c>
      <c r="H37" s="81"/>
    </row>
    <row r="38" spans="1:15" customHeight="1" ht="15">
      <c r="A38" s="59" t="s">
        <v>69</v>
      </c>
      <c r="B38" s="120"/>
      <c r="C38" s="120"/>
      <c r="D38" s="59"/>
      <c r="E38" s="61" t="s">
        <v>8</v>
      </c>
      <c r="F38" s="62"/>
      <c r="G38" s="61" t="s">
        <v>8</v>
      </c>
      <c r="H38" s="62"/>
      <c r="I38" s="59"/>
    </row>
    <row r="39" spans="1:15" customHeight="1" ht="15">
      <c r="A39" s="82" t="s">
        <v>70</v>
      </c>
      <c r="C39" s="83">
        <v>650</v>
      </c>
      <c r="E39" s="61" t="s">
        <v>8</v>
      </c>
      <c r="F39" s="62"/>
      <c r="G39" s="61" t="s">
        <v>8</v>
      </c>
      <c r="H39" s="62">
        <v>650</v>
      </c>
      <c r="J39" s="98"/>
    </row>
    <row r="40" spans="1:15" customHeight="1" ht="15">
      <c r="A40" s="84"/>
      <c r="C40" s="83"/>
      <c r="E40" s="61" t="s">
        <v>8</v>
      </c>
      <c r="F40" s="62"/>
      <c r="G40" s="61" t="s">
        <v>8</v>
      </c>
      <c r="H40" s="62"/>
      <c r="J40" s="98"/>
    </row>
    <row r="41" spans="1:15" customHeight="1" ht="15">
      <c r="A41" s="84"/>
      <c r="B41" s="85"/>
      <c r="C41" s="83"/>
      <c r="D41" s="85"/>
      <c r="E41" s="61"/>
      <c r="F41" s="62"/>
      <c r="G41" s="86"/>
      <c r="H41" s="62"/>
      <c r="J41" s="98"/>
    </row>
    <row r="42" spans="1:15" customHeight="1" ht="15">
      <c r="A42" s="87"/>
      <c r="B42" s="85"/>
      <c r="C42" s="83"/>
      <c r="D42" s="85"/>
      <c r="E42" s="61"/>
      <c r="F42" s="62"/>
      <c r="G42" s="86"/>
      <c r="H42" s="62"/>
      <c r="J42" s="98"/>
    </row>
    <row r="43" spans="1:15" customHeight="1" ht="15">
      <c r="A43" s="88"/>
      <c r="B43" s="85"/>
      <c r="C43" s="89"/>
      <c r="D43" s="85"/>
      <c r="E43" s="86"/>
      <c r="F43" s="62"/>
      <c r="G43" s="86"/>
      <c r="H43" s="62"/>
      <c r="J43" s="98"/>
    </row>
    <row r="44" spans="1:15" customHeight="1" ht="21.75">
      <c r="B44" s="90" t="s">
        <v>71</v>
      </c>
      <c r="E44" s="86" t="s">
        <v>8</v>
      </c>
      <c r="F44" s="91">
        <f>SUM(F6:F42)</f>
        <v>9000</v>
      </c>
      <c r="G44" s="86" t="s">
        <v>8</v>
      </c>
      <c r="H44" s="91">
        <f>SUM(H6:H42)</f>
        <v>15490</v>
      </c>
      <c r="I44" s="99"/>
      <c r="J44" s="98"/>
    </row>
    <row r="45" spans="1:15">
      <c r="B45" s="85" t="s">
        <v>72</v>
      </c>
      <c r="E45" s="86" t="s">
        <v>8</v>
      </c>
      <c r="F45" s="122">
        <f>SUM(F44+H44)</f>
        <v>24490</v>
      </c>
      <c r="G45" s="122"/>
      <c r="H45" s="122"/>
      <c r="J45" s="97"/>
    </row>
    <row r="46" spans="1:15">
      <c r="J46" s="98"/>
      <c r="M46" s="97"/>
    </row>
    <row r="47" spans="1:15">
      <c r="H47" s="92"/>
    </row>
    <row r="49" spans="1:15">
      <c r="A49" s="54" t="s">
        <v>53</v>
      </c>
      <c r="C49" s="123" t="s">
        <v>54</v>
      </c>
      <c r="D49" s="123"/>
      <c r="E49" s="123"/>
      <c r="F49" s="123"/>
    </row>
    <row r="50" spans="1:15">
      <c r="A50" s="54" t="s">
        <v>55</v>
      </c>
      <c r="D50" s="56"/>
      <c r="E50" s="56"/>
      <c r="F50" s="56"/>
      <c r="G50" s="56"/>
    </row>
    <row r="51" spans="1:15">
      <c r="A51" s="54" t="s">
        <v>56</v>
      </c>
      <c r="D51" s="124" t="s">
        <v>57</v>
      </c>
      <c r="E51" s="124"/>
      <c r="F51" s="124"/>
      <c r="G51" s="124"/>
      <c r="H51" s="124"/>
    </row>
    <row r="52" spans="1:15">
      <c r="C52" s="125" t="s">
        <v>73</v>
      </c>
      <c r="D52" s="125"/>
      <c r="E52" s="125"/>
      <c r="F52" s="125"/>
      <c r="G52" s="125"/>
      <c r="H52" s="125"/>
    </row>
  </sheetData>
  <mergeCells>
    <mergeCell ref="B38:C38"/>
    <mergeCell ref="F45:H45"/>
    <mergeCell ref="C49:F49"/>
    <mergeCell ref="D51:H51"/>
    <mergeCell ref="C52:H52"/>
    <mergeCell ref="A2:H2"/>
    <mergeCell ref="D3:E3"/>
    <mergeCell ref="B12:C12"/>
    <mergeCell ref="B13:C13"/>
    <mergeCell ref="B16:D16"/>
  </mergeCells>
  <printOptions gridLines="false" gridLinesSet="true"/>
  <pageMargins left="0.75" right="0.75" top="0.75" bottom="0.5" header="0.12" footer="0.33"/>
  <pageSetup paperSize="256" orientation="portrait" scale="77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9"/>
  <sheetViews>
    <sheetView tabSelected="1" workbookViewId="0" zoomScale="140" zoomScaleNormal="140" view="pageBreakPreview" showGridLines="true" showRowColHeaders="1" topLeftCell="A40">
      <selection activeCell="F24" sqref="F24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.6640625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4" customHeight="1" ht="51.75">
      <c r="A1" s="1"/>
    </row>
    <row r="2" spans="1:14" customHeight="1" ht="16.5">
      <c r="A2" s="113" t="s">
        <v>0</v>
      </c>
      <c r="B2" s="113"/>
      <c r="C2" s="113"/>
      <c r="D2" s="113"/>
      <c r="E2" s="113"/>
      <c r="F2" s="113"/>
    </row>
    <row r="3" spans="1:14">
      <c r="D3" s="114"/>
      <c r="E3" s="114"/>
      <c r="F3" s="2" t="s">
        <v>1</v>
      </c>
      <c r="G3" s="3"/>
    </row>
    <row r="4" spans="1:14" customHeight="1" ht="16.2">
      <c r="A4" s="4" t="s">
        <v>74</v>
      </c>
      <c r="B4" s="5"/>
      <c r="C4" s="5"/>
      <c r="D4" s="5"/>
      <c r="F4" s="6" t="s">
        <v>75</v>
      </c>
      <c r="G4" s="7"/>
    </row>
    <row r="5" spans="1:14" customHeight="1" ht="15">
      <c r="A5" s="8" t="s">
        <v>4</v>
      </c>
      <c r="F5" s="107"/>
    </row>
    <row r="6" spans="1:14" customHeight="1" ht="15">
      <c r="A6" s="9" t="s">
        <v>5</v>
      </c>
      <c r="B6" s="10" t="s">
        <v>76</v>
      </c>
      <c r="C6" s="10" t="s">
        <v>7</v>
      </c>
      <c r="E6" s="11" t="s">
        <v>8</v>
      </c>
      <c r="F6" s="130">
        <v>10650.0</v>
      </c>
      <c r="G6" s="13"/>
      <c r="H6" s="9"/>
    </row>
    <row r="7" spans="1:14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4" customHeight="1" ht="13.5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09"/>
      <c r="I10" s="109"/>
      <c r="J10" s="109"/>
      <c r="K10" s="109"/>
      <c r="L10" s="109"/>
      <c r="M10" s="109"/>
      <c r="N10" s="109"/>
    </row>
    <row r="11" spans="1:14" customHeight="1" ht="15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customHeight="1" ht="15">
      <c r="A12" s="9" t="s">
        <v>19</v>
      </c>
      <c r="B12" s="127"/>
      <c r="C12" s="109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customHeight="1" ht="15">
      <c r="A13" s="9" t="s">
        <v>20</v>
      </c>
      <c r="B13" s="117"/>
      <c r="C13" s="117"/>
      <c r="D13" s="117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customHeight="1" ht="15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customHeight="1" ht="15">
      <c r="A16" s="9" t="s">
        <v>25</v>
      </c>
      <c r="B16" s="128"/>
      <c r="C16" s="128"/>
      <c r="E16" s="11" t="s">
        <v>8</v>
      </c>
      <c r="F16" s="16"/>
    </row>
    <row r="17" spans="1:14" customHeight="1" ht="15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14" customHeight="1" ht="15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14" customHeight="1" ht="15">
      <c r="A19" s="8" t="s">
        <v>28</v>
      </c>
      <c r="E19" s="11"/>
      <c r="F19" s="27"/>
    </row>
    <row r="20" spans="1:14" customHeight="1" ht="15">
      <c r="A20" s="9" t="s">
        <v>29</v>
      </c>
      <c r="C20" s="22"/>
      <c r="E20" s="11" t="s">
        <v>8</v>
      </c>
      <c r="F20" s="12"/>
    </row>
    <row r="21" spans="1:14" customHeight="1" ht="15">
      <c r="A21" s="9" t="s">
        <v>30</v>
      </c>
      <c r="C21" s="28"/>
      <c r="E21" s="11" t="s">
        <v>8</v>
      </c>
      <c r="F21" s="12"/>
      <c r="H21" s="1">
        <f>F21+F22+F23+F24+F40</f>
        <v>20</v>
      </c>
    </row>
    <row r="22" spans="1:14" customHeight="1" ht="15">
      <c r="A22" s="9" t="s">
        <v>31</v>
      </c>
      <c r="C22" s="28"/>
      <c r="E22" s="11"/>
      <c r="F22" s="12"/>
      <c r="G22" s="9"/>
    </row>
    <row r="23" spans="1:14" customHeight="1" ht="15">
      <c r="A23" s="9" t="s">
        <v>32</v>
      </c>
      <c r="C23" s="28"/>
      <c r="E23" s="11" t="s">
        <v>8</v>
      </c>
      <c r="F23" s="12"/>
      <c r="G23" s="17"/>
      <c r="H23" s="9"/>
    </row>
    <row r="24" spans="1:14" customHeight="1" ht="15">
      <c r="A24" s="9" t="s">
        <v>33</v>
      </c>
      <c r="C24" s="28" t="s">
        <v>77</v>
      </c>
      <c r="E24" s="11"/>
      <c r="F24" s="130">
        <v>20.0</v>
      </c>
      <c r="G24" s="17"/>
      <c r="H24" s="9"/>
    </row>
    <row r="25" spans="1:14" customHeight="1" ht="15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14" customHeight="1" ht="12">
      <c r="A26" s="9" t="s">
        <v>35</v>
      </c>
      <c r="B26" s="129"/>
      <c r="C26" s="129"/>
      <c r="D26" s="9"/>
      <c r="E26" s="11" t="s">
        <v>8</v>
      </c>
      <c r="F26" s="12"/>
      <c r="G26" s="9"/>
    </row>
    <row r="27" spans="1:14" customHeight="1" ht="15">
      <c r="A27" s="8" t="s">
        <v>36</v>
      </c>
      <c r="E27" s="11"/>
      <c r="F27" s="27"/>
    </row>
    <row r="28" spans="1:14" customHeight="1" ht="15">
      <c r="A28" s="9" t="s">
        <v>37</v>
      </c>
      <c r="E28" s="11"/>
      <c r="F28" s="27"/>
    </row>
    <row r="29" spans="1:14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4" customHeight="1" ht="15">
      <c r="A30" s="9" t="s">
        <v>41</v>
      </c>
      <c r="E30" s="11" t="s">
        <v>8</v>
      </c>
      <c r="F30" s="33"/>
    </row>
    <row r="31" spans="1:14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4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4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4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4" customHeight="1" ht="15">
      <c r="A35" s="9" t="s">
        <v>46</v>
      </c>
      <c r="E35" s="11"/>
      <c r="F35" s="35"/>
      <c r="I35" s="40"/>
      <c r="J35" s="51"/>
      <c r="K35" s="40"/>
    </row>
    <row r="36" spans="1:14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4" customHeight="1" ht="15">
      <c r="A37" s="9" t="s">
        <v>49</v>
      </c>
      <c r="C37" s="36"/>
      <c r="E37" s="11" t="s">
        <v>8</v>
      </c>
      <c r="F37" s="37"/>
    </row>
    <row r="38" spans="1:14" customHeight="1" ht="15">
      <c r="A38" s="9" t="s">
        <v>78</v>
      </c>
      <c r="B38" s="126"/>
      <c r="C38" s="110"/>
      <c r="D38" s="9"/>
      <c r="E38" s="11" t="s">
        <v>8</v>
      </c>
      <c r="F38" s="12"/>
      <c r="G38" s="9" t="s">
        <v>79</v>
      </c>
    </row>
    <row r="39" spans="1:14" customHeight="1" ht="15">
      <c r="A39" s="38" t="s">
        <v>70</v>
      </c>
      <c r="C39" s="39"/>
      <c r="E39" s="11" t="s">
        <v>8</v>
      </c>
      <c r="F39" s="12"/>
      <c r="H39" s="40"/>
    </row>
    <row r="40" spans="1:14" customHeight="1" ht="15">
      <c r="A40" s="41"/>
      <c r="C40" s="39"/>
      <c r="E40" s="11"/>
      <c r="F40" s="12"/>
      <c r="H40" s="40"/>
    </row>
    <row r="41" spans="1:14" customHeight="1" ht="15">
      <c r="A41" s="41"/>
      <c r="B41" s="42"/>
      <c r="C41" s="43"/>
      <c r="D41" s="42"/>
      <c r="E41" s="44"/>
      <c r="F41" s="12"/>
      <c r="H41" s="40"/>
    </row>
    <row r="42" spans="1:14" customHeight="1" ht="15">
      <c r="A42" s="45"/>
      <c r="B42" s="42"/>
      <c r="C42" s="43"/>
      <c r="D42" s="42"/>
      <c r="E42" s="44"/>
      <c r="F42" s="12"/>
      <c r="H42" s="40"/>
    </row>
    <row r="43" spans="1:14" customHeight="1" ht="15">
      <c r="A43" s="46" t="s">
        <v>80</v>
      </c>
      <c r="B43" s="42"/>
      <c r="C43" s="43"/>
      <c r="D43" s="42"/>
      <c r="E43" s="44"/>
      <c r="F43" s="12"/>
      <c r="H43" s="40"/>
      <c r="I43" s="1">
        <v>0</v>
      </c>
    </row>
    <row r="44" spans="1:14" customHeight="1" ht="21.75">
      <c r="B44" s="47" t="s">
        <v>52</v>
      </c>
      <c r="E44" s="48" t="s">
        <v>8</v>
      </c>
      <c r="F44" s="49">
        <f>SUM(F6:F43)</f>
        <v>10670</v>
      </c>
      <c r="G44" s="50"/>
      <c r="H44" s="40"/>
    </row>
    <row r="45" spans="1:14">
      <c r="H45" s="51"/>
    </row>
    <row r="46" spans="1:14">
      <c r="A46" s="1" t="s">
        <v>53</v>
      </c>
      <c r="C46" s="52" t="s">
        <v>54</v>
      </c>
      <c r="H46" s="40"/>
      <c r="K46" s="51"/>
    </row>
    <row r="47" spans="1:14">
      <c r="A47" s="1" t="s">
        <v>55</v>
      </c>
      <c r="D47" s="5"/>
      <c r="E47" s="5"/>
      <c r="F47" s="5"/>
      <c r="G47" s="5"/>
      <c r="H47" s="40"/>
      <c r="K47" s="51"/>
    </row>
    <row r="48" spans="1:14">
      <c r="A48" s="1" t="s">
        <v>56</v>
      </c>
      <c r="D48" s="111" t="s">
        <v>81</v>
      </c>
      <c r="E48" s="111"/>
      <c r="F48" s="111"/>
      <c r="K48" s="40"/>
    </row>
    <row r="49" spans="1:14">
      <c r="D49" s="112" t="s">
        <v>58</v>
      </c>
      <c r="E49" s="112"/>
      <c r="F49" s="112"/>
    </row>
  </sheetData>
  <mergeCells>
    <mergeCell ref="H10:N10"/>
    <mergeCell ref="B12:C12"/>
    <mergeCell ref="B13:D13"/>
    <mergeCell ref="B16:C16"/>
    <mergeCell ref="B26:C26"/>
    <mergeCell ref="B38:C38"/>
    <mergeCell ref="D48:F48"/>
    <mergeCell ref="D49:F49"/>
    <mergeCell ref="A2:F2"/>
    <mergeCell ref="D3:E3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9" r:id="rId4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0" r:id="rId5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1" r:id="rId6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2" r:id="rId7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3" r:id="rId8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</vt:lpstr>
      <vt:lpstr>LAGYAP</vt:lpstr>
      <vt:lpstr>temp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dcterms:created xsi:type="dcterms:W3CDTF">2018-11-28T14:09:00+08:00</dcterms:created>
  <dcterms:modified xsi:type="dcterms:W3CDTF">2025-12-02T06:10:27+08:00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14B1FA4C9CB04CABBDAF801C694E82A5_12</vt:lpwstr>
  </property>
  <property fmtid="{D5CDD505-2E9C-101B-9397-08002B2CF9AE}" pid="3" name="KSOProductBuildVer">
    <vt:lpwstr>1033-12.2.0.13538</vt:lpwstr>
  </property>
</Properties>
</file>