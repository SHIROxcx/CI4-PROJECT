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<sst xmlns="http://schemas.openxmlformats.org/spreadsheetml/2006/main" uniqueCount="83">
  <si>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</si>
  <si>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</si>
  <si>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</si>
  <si>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</si>
  <si>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</si>
  <si>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</si>
  <si>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</si>
  <si>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</si>
  <si>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</si>
  <si>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</si>
  <si>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</si>
  <si>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</si>
  <si>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</si>
  <si>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</si>
  <si>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</si>
  <si>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</si>
  <si>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</si>
  <si>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</si>
  <si>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</si>
  <si>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</si>
  <si>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</si>
  <si>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</si>
  <si>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</si>
  <si>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</si>
  <si>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</si>
  <si>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</si>
  <si>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</si>
  <si>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</si>
  <si>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</si>
  <si>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</si>
  <si>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</si>
  <si>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</si>
  <si>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</si>
  <si>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</si>
  <si>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</si>
  <si>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</si>
  <si>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</si>
  <si>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</si>
  <si>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</si>
  <si>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</si>
  <si>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</si>
  <si>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</si>
  <si>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</si>
  <si>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</si>
  <si>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</si>
  <si>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</si>
  <si>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</si>
  <si>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</si>
  <si>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</si>
  <si>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</si>
  <si>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</si>
  <si>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</si>
  <si>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</si>
  <si>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</si>
  <si>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</si>
  <si>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</si>
  <si>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</si>
  <si>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</si>
  <si>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</si>
  <si>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</si>
  <si>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</si>
  <si>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</si>
  <si>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</si>
  <si>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</si>
  <si>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</si>
  <si>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</si>
  <si>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</si>
  <si>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</si>
  <si>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</si>
  <si>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</si>
  <si>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</si>
  <si>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</si>
  <si>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</si>
  <si>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</si>
  <si>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loren</t>
  </si>
  <si>
    <t>Date:  October 8, 2025</t>
  </si>
  <si>
    <t>12 X ₱7.50</t>
  </si>
  <si>
    <t>4 X ₱7.50</t>
  </si>
  <si>
    <t>7 X ₱65.00</t>
  </si>
  <si>
    <t>7 X ₱10.00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</si>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</sst>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4" fillId="0" borderId="2" applyFont="0" applyNumberFormat="1" applyFill="0" applyBorder="1" applyAlignment="1">
      <alignment horizontal="left" vertical="center" textRotation="0" wrapText="false" shrinkToFit="false"/>
    </xf>
    <xf xfId="0" fontId="7" numFmtId="4" fillId="0" borderId="1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23" t="s">
        <v>59</v>
      </c>
      <c r="B2" s="123"/>
      <c r="C2" s="123"/>
      <c r="D2" s="123"/>
      <c r="E2" s="123"/>
      <c r="F2" s="123"/>
      <c r="G2" s="123"/>
      <c r="H2" s="123"/>
    </row>
    <row r="3" spans="1:15">
      <c r="D3" s="124"/>
      <c r="E3" s="124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18"/>
      <c r="C12" s="118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5"/>
      <c r="C13" s="118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5"/>
      <c r="C16" s="125"/>
      <c r="D16" s="125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18"/>
      <c r="C38" s="118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19">
        <f>SUM(F44+H44)</f>
        <v>24490</v>
      </c>
      <c r="G45" s="119"/>
      <c r="H45" s="119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0" t="s">
        <v>54</v>
      </c>
      <c r="D49" s="120"/>
      <c r="E49" s="120"/>
      <c r="F49" s="120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1" t="s">
        <v>57</v>
      </c>
      <c r="E51" s="121"/>
      <c r="F51" s="121"/>
      <c r="G51" s="121"/>
      <c r="H51" s="121"/>
    </row>
    <row r="52" spans="1:15">
      <c r="C52" s="122" t="s">
        <v>73</v>
      </c>
      <c r="D52" s="122"/>
      <c r="E52" s="122"/>
      <c r="F52" s="122"/>
      <c r="G52" s="122"/>
      <c r="H52" s="122"/>
    </row>
  </sheetData>
  <mergeCells>
    <mergeCell ref="A2:H2"/>
    <mergeCell ref="D3:E3"/>
    <mergeCell ref="B12:C12"/>
    <mergeCell ref="B13:C13"/>
    <mergeCell ref="B16:D16"/>
    <mergeCell ref="B38:C38"/>
    <mergeCell ref="F45:H45"/>
    <mergeCell ref="C49:F49"/>
    <mergeCell ref="D51:H51"/>
    <mergeCell ref="C52:H52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10">
      <selection activeCell="F22" sqref="F22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6"/>
      <c r="C12" s="109"/>
      <c r="E12" s="11" t="s">
        <v>8</v>
      </c>
      <c r="F12" s="130">
        <v>8400.0</v>
      </c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7"/>
      <c r="C16" s="127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 t="s">
        <v>76</v>
      </c>
      <c r="E21" s="11" t="s">
        <v>8</v>
      </c>
      <c r="F21" s="131">
        <v>90.0</v>
      </c>
      <c r="H21" s="1">
        <f>F21+F22+F23+F24+F40</f>
        <v>645</v>
      </c>
    </row>
    <row r="22" spans="1:14" customHeight="1" ht="15">
      <c r="A22" s="9" t="s">
        <v>31</v>
      </c>
      <c r="C22" s="28" t="s">
        <v>77</v>
      </c>
      <c r="E22" s="11"/>
      <c r="F22" s="131">
        <v>30.0</v>
      </c>
      <c r="G22" s="9"/>
    </row>
    <row r="23" spans="1:14" customHeight="1" ht="15">
      <c r="A23" s="9" t="s">
        <v>32</v>
      </c>
      <c r="C23" s="28" t="s">
        <v>78</v>
      </c>
      <c r="E23" s="11" t="s">
        <v>8</v>
      </c>
      <c r="F23" s="131">
        <v>455.0</v>
      </c>
      <c r="G23" s="17"/>
      <c r="H23" s="9"/>
    </row>
    <row r="24" spans="1:14" customHeight="1" ht="15">
      <c r="A24" s="9" t="s">
        <v>33</v>
      </c>
      <c r="C24" s="28" t="s">
        <v>79</v>
      </c>
      <c r="E24" s="11"/>
      <c r="F24" s="131">
        <v>70.0</v>
      </c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8"/>
      <c r="C26" s="128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80</v>
      </c>
      <c r="B38" s="129"/>
      <c r="C38" s="110"/>
      <c r="D38" s="9"/>
      <c r="E38" s="11" t="s">
        <v>8</v>
      </c>
      <c r="F38" s="12"/>
      <c r="G38" s="9" t="s">
        <v>81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82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9045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2018-11-28T06:09:00+00:00</dcterms:created>
  <dcterms:modified xsi:type="dcterms:W3CDTF">2025-09-29T19:43:25+00:00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